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P&amp;L" sheetId="2" state="visible" r:id="rId2"/>
    <sheet name="Flujo de Efectivo" sheetId="3" state="visible" r:id="rId3"/>
    <sheet name="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77B4"/>
      <sz val="11"/>
    </font>
    <font>
      <sz val="11"/>
    </font>
    <font>
      <i val="1"/>
      <color rgb="007F7F7F"/>
      <sz val="9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164" fontId="3" fillId="3" borderId="1" pivotButton="0" quotePrefix="0" xfId="0"/>
    <xf numFmtId="10" fontId="3" fillId="3" borderId="1" pivotButton="0" quotePrefix="0" xfId="0"/>
    <xf numFmtId="164" fontId="3" fillId="0" borderId="1" pivotButton="0" quotePrefix="0" xfId="0"/>
    <xf numFmtId="10" fontId="3" fillId="0" borderId="1" pivotButton="0" quotePrefix="0" xfId="0"/>
    <xf numFmtId="3" fontId="3" fillId="3" borderId="1" pivotButton="0" quotePrefix="0" xfId="0"/>
    <xf numFmtId="3" fontId="3" fillId="0" borderId="1" pivotButton="0" quotePrefix="0" xfId="0"/>
    <xf numFmtId="0" fontId="6" fillId="5" borderId="0" pivotButton="0" quotePrefix="0" xfId="0"/>
    <xf numFmtId="3" fontId="6" fillId="5" borderId="1" pivotButton="0" quotePrefix="0" xfId="0"/>
    <xf numFmtId="4" fontId="6" fillId="5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SUPUESTOS DEL MODELO  ·  celdas amarillas = editables</t>
        </is>
      </c>
    </row>
    <row r="3">
      <c r="A3" s="2" t="inlineStr">
        <is>
          <t>Selector de escenario</t>
        </is>
      </c>
    </row>
    <row r="4">
      <c r="A4" s="3" t="inlineStr">
        <is>
          <t>Escenario activo (1=Base  2=Optimista  3=Pesimista)</t>
        </is>
      </c>
      <c r="B4" s="4" t="n">
        <v>1</v>
      </c>
    </row>
    <row r="5">
      <c r="A5" s="5" t="inlineStr">
        <is>
          <t>Cambia solo este numero: todo el modelo se recalcula.</t>
        </is>
      </c>
    </row>
    <row r="7">
      <c r="A7" s="2" t="inlineStr">
        <is>
          <t>Tabla de escenarios</t>
        </is>
      </c>
    </row>
    <row r="8">
      <c r="A8" s="6" t="inlineStr">
        <is>
          <t>Supuesto</t>
        </is>
      </c>
      <c r="B8" s="6" t="inlineStr">
        <is>
          <t>Base</t>
        </is>
      </c>
      <c r="C8" s="6" t="inlineStr">
        <is>
          <t>Optimista</t>
        </is>
      </c>
      <c r="D8" s="6" t="inlineStr">
        <is>
          <t>Pesimista</t>
        </is>
      </c>
    </row>
    <row r="9">
      <c r="A9" s="3" t="inlineStr">
        <is>
          <t>Crecimiento de ventas</t>
        </is>
      </c>
      <c r="B9" s="7" t="n">
        <v>0.1</v>
      </c>
      <c r="C9" s="7" t="n">
        <v>0.18</v>
      </c>
      <c r="D9" s="7" t="n">
        <v>0.02</v>
      </c>
    </row>
    <row r="10">
      <c r="A10" s="3" t="inlineStr">
        <is>
          <t>Margen EBITDA</t>
        </is>
      </c>
      <c r="B10" s="7" t="n">
        <v>0.2</v>
      </c>
      <c r="C10" s="7" t="n">
        <v>0.24</v>
      </c>
      <c r="D10" s="7" t="n">
        <v>0.15</v>
      </c>
    </row>
    <row r="11">
      <c r="A11" s="3" t="inlineStr">
        <is>
          <t>Tasa de impuestos</t>
        </is>
      </c>
      <c r="B11" s="7" t="n">
        <v>0.25</v>
      </c>
      <c r="C11" s="7" t="n">
        <v>0.25</v>
      </c>
      <c r="D11" s="7" t="n">
        <v>0.25</v>
      </c>
    </row>
    <row r="12">
      <c r="A12" s="3" t="inlineStr">
        <is>
          <t>Tasa de interes de la deuda</t>
        </is>
      </c>
      <c r="B12" s="8" t="n">
        <v>0.05</v>
      </c>
      <c r="C12" s="8" t="n">
        <v>0.045</v>
      </c>
      <c r="D12" s="8" t="n">
        <v>0.07000000000000001</v>
      </c>
    </row>
    <row r="14">
      <c r="A14" s="2" t="inlineStr">
        <is>
          <t>Supuestos activos (calculados con CHOOSE / ELEGIR)</t>
        </is>
      </c>
    </row>
    <row r="15">
      <c r="A15" s="3" t="inlineStr">
        <is>
          <t>Crecimiento de ventas</t>
        </is>
      </c>
      <c r="B15" s="9">
        <f>IFERROR(CHOOSE($B4,B9,C9,D9),"Revisa el escenario")</f>
        <v/>
      </c>
    </row>
    <row r="16">
      <c r="A16" s="3" t="inlineStr">
        <is>
          <t>Margen EBITDA</t>
        </is>
      </c>
      <c r="B16" s="9">
        <f>IFERROR(CHOOSE($B4,B10,C10,D10),"Revisa el escenario")</f>
        <v/>
      </c>
    </row>
    <row r="17">
      <c r="A17" s="3" t="inlineStr">
        <is>
          <t>Tasa de impuestos</t>
        </is>
      </c>
      <c r="B17" s="9">
        <f>IFERROR(CHOOSE($B4,B11,C11,D11),"Revisa el escenario")</f>
        <v/>
      </c>
    </row>
    <row r="18">
      <c r="A18" s="3" t="inlineStr">
        <is>
          <t>Tasa de interes de la deuda</t>
        </is>
      </c>
      <c r="B18" s="10">
        <f>IFERROR(CHOOSE($B4,B12,C12,D12),"Revisa el escenario")</f>
        <v/>
      </c>
    </row>
    <row r="20">
      <c r="A20" s="2" t="inlineStr">
        <is>
          <t>Supuestos fijos</t>
        </is>
      </c>
    </row>
    <row r="21">
      <c r="A21" s="3" t="inlineStr">
        <is>
          <t>Depreciacion anual</t>
        </is>
      </c>
      <c r="B21" s="11" t="n">
        <v>20</v>
      </c>
    </row>
    <row r="22">
      <c r="A22" s="3" t="inlineStr">
        <is>
          <t>CapEx anual</t>
        </is>
      </c>
      <c r="B22" s="11" t="n">
        <v>50</v>
      </c>
    </row>
    <row r="23">
      <c r="A23" s="3" t="inlineStr">
        <is>
          <t>Ventas del Ano 0</t>
        </is>
      </c>
      <c r="B23" s="11" t="n">
        <v>1000</v>
      </c>
    </row>
    <row r="25">
      <c r="A25" s="2" t="inlineStr">
        <is>
          <t>Balance inicial (Ano 0)</t>
        </is>
      </c>
    </row>
    <row r="26">
      <c r="A26" s="3" t="inlineStr">
        <is>
          <t>Efectivo</t>
        </is>
      </c>
      <c r="B26" s="11" t="n">
        <v>100</v>
      </c>
    </row>
    <row r="27">
      <c r="A27" s="3" t="inlineStr">
        <is>
          <t>Inventario</t>
        </is>
      </c>
      <c r="B27" s="11" t="n">
        <v>200</v>
      </c>
    </row>
    <row r="28">
      <c r="A28" s="3" t="inlineStr">
        <is>
          <t>PP&amp;E neto</t>
        </is>
      </c>
      <c r="B28" s="11" t="n">
        <v>800</v>
      </c>
    </row>
    <row r="29">
      <c r="A29" s="3" t="inlineStr">
        <is>
          <t>Cuentas por pagar</t>
        </is>
      </c>
      <c r="B29" s="11" t="n">
        <v>100</v>
      </c>
    </row>
    <row r="30">
      <c r="A30" s="3" t="inlineStr">
        <is>
          <t>Deuda a largo plazo</t>
        </is>
      </c>
      <c r="B30" s="11" t="n">
        <v>600</v>
      </c>
    </row>
    <row r="31">
      <c r="A31" s="3" t="inlineStr">
        <is>
          <t>Ganancias retenidas</t>
        </is>
      </c>
      <c r="B31" s="11" t="n">
        <v>400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ESTADO DE RESULTADOS PROYECTADO</t>
        </is>
      </c>
    </row>
    <row r="3">
      <c r="A3" s="6" t="inlineStr">
        <is>
          <t>Concepto</t>
        </is>
      </c>
      <c r="B3" s="6" t="inlineStr">
        <is>
          <t>Ano 0</t>
        </is>
      </c>
      <c r="C3" s="6" t="inlineStr">
        <is>
          <t>Ano 1</t>
        </is>
      </c>
      <c r="D3" s="6" t="inlineStr">
        <is>
          <t>Ano 2</t>
        </is>
      </c>
      <c r="E3" s="6" t="inlineStr">
        <is>
          <t>Ano 3</t>
        </is>
      </c>
      <c r="F3" s="6" t="inlineStr">
        <is>
          <t>Ano 4</t>
        </is>
      </c>
      <c r="G3" s="6" t="inlineStr">
        <is>
          <t>Ano 5</t>
        </is>
      </c>
    </row>
    <row r="4">
      <c r="A4" s="3" t="inlineStr">
        <is>
          <t>Ventas</t>
        </is>
      </c>
      <c r="B4" s="12">
        <f>Supuestos!$B$23</f>
        <v/>
      </c>
      <c r="C4" s="12">
        <f>B4*(1+Supuestos!$B$15)</f>
        <v/>
      </c>
      <c r="D4" s="12">
        <f>C4*(1+Supuestos!$B$15)</f>
        <v/>
      </c>
      <c r="E4" s="12">
        <f>D4*(1+Supuestos!$B$15)</f>
        <v/>
      </c>
      <c r="F4" s="12">
        <f>E4*(1+Supuestos!$B$15)</f>
        <v/>
      </c>
      <c r="G4" s="12">
        <f>F4*(1+Supuestos!$B$15)</f>
        <v/>
      </c>
    </row>
    <row r="5">
      <c r="A5" s="3" t="inlineStr">
        <is>
          <t>EBITDA</t>
        </is>
      </c>
      <c r="B5" s="12">
        <f>B4*Supuestos!$B$16</f>
        <v/>
      </c>
      <c r="C5" s="12">
        <f>C4*Supuestos!$B$16</f>
        <v/>
      </c>
      <c r="D5" s="12">
        <f>D4*Supuestos!$B$16</f>
        <v/>
      </c>
      <c r="E5" s="12">
        <f>E4*Supuestos!$B$16</f>
        <v/>
      </c>
      <c r="F5" s="12">
        <f>F4*Supuestos!$B$16</f>
        <v/>
      </c>
      <c r="G5" s="12">
        <f>G4*Supuestos!$B$16</f>
        <v/>
      </c>
    </row>
    <row r="6">
      <c r="A6" s="3" t="inlineStr">
        <is>
          <t>(-) Depreciacion</t>
        </is>
      </c>
      <c r="B6" s="12">
        <f>-Supuestos!$B$21</f>
        <v/>
      </c>
      <c r="C6" s="12">
        <f>-Supuestos!$B$21</f>
        <v/>
      </c>
      <c r="D6" s="12">
        <f>-Supuestos!$B$21</f>
        <v/>
      </c>
      <c r="E6" s="12">
        <f>-Supuestos!$B$21</f>
        <v/>
      </c>
      <c r="F6" s="12">
        <f>-Supuestos!$B$21</f>
        <v/>
      </c>
      <c r="G6" s="12">
        <f>-Supuestos!$B$21</f>
        <v/>
      </c>
    </row>
    <row r="7">
      <c r="A7" s="13" t="inlineStr">
        <is>
          <t>EBIT</t>
        </is>
      </c>
      <c r="B7" s="14">
        <f>B5+B6</f>
        <v/>
      </c>
      <c r="C7" s="14">
        <f>C5+C6</f>
        <v/>
      </c>
      <c r="D7" s="14">
        <f>D5+D6</f>
        <v/>
      </c>
      <c r="E7" s="14">
        <f>E5+E6</f>
        <v/>
      </c>
      <c r="F7" s="14">
        <f>F5+F6</f>
        <v/>
      </c>
      <c r="G7" s="14">
        <f>G5+G6</f>
        <v/>
      </c>
    </row>
    <row r="8">
      <c r="A8" s="3" t="inlineStr">
        <is>
          <t>(-) Gasto financiero</t>
        </is>
      </c>
      <c r="B8" s="12">
        <f>-Supuestos!$B$30*Supuestos!$B$18</f>
        <v/>
      </c>
      <c r="C8" s="12">
        <f>-Supuestos!$B$30*Supuestos!$B$18</f>
        <v/>
      </c>
      <c r="D8" s="12">
        <f>-Supuestos!$B$30*Supuestos!$B$18</f>
        <v/>
      </c>
      <c r="E8" s="12">
        <f>-Supuestos!$B$30*Supuestos!$B$18</f>
        <v/>
      </c>
      <c r="F8" s="12">
        <f>-Supuestos!$B$30*Supuestos!$B$18</f>
        <v/>
      </c>
      <c r="G8" s="12">
        <f>-Supuestos!$B$30*Supuestos!$B$18</f>
        <v/>
      </c>
    </row>
    <row r="9">
      <c r="A9" s="13" t="inlineStr">
        <is>
          <t>EBT (utilidad antes de impuestos)</t>
        </is>
      </c>
      <c r="B9" s="14">
        <f>B7+B8</f>
        <v/>
      </c>
      <c r="C9" s="14">
        <f>C7+C8</f>
        <v/>
      </c>
      <c r="D9" s="14">
        <f>D7+D8</f>
        <v/>
      </c>
      <c r="E9" s="14">
        <f>E7+E8</f>
        <v/>
      </c>
      <c r="F9" s="14">
        <f>F7+F8</f>
        <v/>
      </c>
      <c r="G9" s="14">
        <f>G7+G8</f>
        <v/>
      </c>
    </row>
    <row r="10">
      <c r="A10" s="3" t="inlineStr">
        <is>
          <t>(-) Impuestos</t>
        </is>
      </c>
      <c r="B10" s="12">
        <f>-MAX(0,B9)*Supuestos!$B$17</f>
        <v/>
      </c>
      <c r="C10" s="12">
        <f>-MAX(0,C9)*Supuestos!$B$17</f>
        <v/>
      </c>
      <c r="D10" s="12">
        <f>-MAX(0,D9)*Supuestos!$B$17</f>
        <v/>
      </c>
      <c r="E10" s="12">
        <f>-MAX(0,E9)*Supuestos!$B$17</f>
        <v/>
      </c>
      <c r="F10" s="12">
        <f>-MAX(0,F9)*Supuestos!$B$17</f>
        <v/>
      </c>
      <c r="G10" s="12">
        <f>-MAX(0,G9)*Supuestos!$B$17</f>
        <v/>
      </c>
    </row>
    <row r="11">
      <c r="A11" s="13" t="inlineStr">
        <is>
          <t>UTILIDAD NETA</t>
        </is>
      </c>
      <c r="B11" s="14">
        <f>B9+B10</f>
        <v/>
      </c>
      <c r="C11" s="14">
        <f>C9+C10</f>
        <v/>
      </c>
      <c r="D11" s="14">
        <f>D9+D10</f>
        <v/>
      </c>
      <c r="E11" s="14">
        <f>E9+E10</f>
        <v/>
      </c>
      <c r="F11" s="14">
        <f>F9+F10</f>
        <v/>
      </c>
      <c r="G11" s="14">
        <f>G9+G10</f>
        <v/>
      </c>
    </row>
    <row r="13">
      <c r="A13" s="2" t="inlineStr">
        <is>
          <t>Margenes de control</t>
        </is>
      </c>
    </row>
    <row r="14">
      <c r="A14" s="3" t="inlineStr">
        <is>
          <t>Margen EBITDA</t>
        </is>
      </c>
      <c r="B14" s="9">
        <f>IFERROR(B5/B4,0)</f>
        <v/>
      </c>
      <c r="C14" s="9">
        <f>IFERROR(C5/C4,0)</f>
        <v/>
      </c>
      <c r="D14" s="9">
        <f>IFERROR(D5/D4,0)</f>
        <v/>
      </c>
      <c r="E14" s="9">
        <f>IFERROR(E5/E4,0)</f>
        <v/>
      </c>
      <c r="F14" s="9">
        <f>IFERROR(F5/F4,0)</f>
        <v/>
      </c>
      <c r="G14" s="9">
        <f>IFERROR(G5/G4,0)</f>
        <v/>
      </c>
    </row>
    <row r="15">
      <c r="A15" s="3" t="inlineStr">
        <is>
          <t>Margen neto</t>
        </is>
      </c>
      <c r="B15" s="9">
        <f>IFERROR(B11/B4,0)</f>
        <v/>
      </c>
      <c r="C15" s="9">
        <f>IFERROR(C11/C4,0)</f>
        <v/>
      </c>
      <c r="D15" s="9">
        <f>IFERROR(D11/D4,0)</f>
        <v/>
      </c>
      <c r="E15" s="9">
        <f>IFERROR(E11/E4,0)</f>
        <v/>
      </c>
      <c r="F15" s="9">
        <f>IFERROR(F11/F4,0)</f>
        <v/>
      </c>
      <c r="G15" s="9">
        <f>IFERROR(G11/G4,0)</f>
        <v/>
      </c>
    </row>
    <row r="17">
      <c r="A17" s="5" t="inlineStr">
        <is>
          <t>Los impuestos usan MAX(0;EBT): si hay perdida no se paga impuesto (no se modela el credito fiscal).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FLUJO DE EFECTIVO (metodo indirecto)</t>
        </is>
      </c>
    </row>
    <row r="3">
      <c r="A3" s="6" t="inlineStr">
        <is>
          <t>Concepto</t>
        </is>
      </c>
      <c r="B3" s="6" t="inlineStr">
        <is>
          <t>Ano 0</t>
        </is>
      </c>
      <c r="C3" s="6" t="inlineStr">
        <is>
          <t>Ano 1</t>
        </is>
      </c>
      <c r="D3" s="6" t="inlineStr">
        <is>
          <t>Ano 2</t>
        </is>
      </c>
      <c r="E3" s="6" t="inlineStr">
        <is>
          <t>Ano 3</t>
        </is>
      </c>
      <c r="F3" s="6" t="inlineStr">
        <is>
          <t>Ano 4</t>
        </is>
      </c>
      <c r="G3" s="6" t="inlineStr">
        <is>
          <t>Ano 5</t>
        </is>
      </c>
    </row>
    <row r="4">
      <c r="A4" s="3" t="inlineStr">
        <is>
          <t>Utilidad neta</t>
        </is>
      </c>
      <c r="B4" s="12" t="inlineStr"/>
      <c r="C4" s="12">
        <f>'P&amp;L'!C11</f>
        <v/>
      </c>
      <c r="D4" s="12">
        <f>'P&amp;L'!D11</f>
        <v/>
      </c>
      <c r="E4" s="12">
        <f>'P&amp;L'!E11</f>
        <v/>
      </c>
      <c r="F4" s="12">
        <f>'P&amp;L'!F11</f>
        <v/>
      </c>
      <c r="G4" s="12">
        <f>'P&amp;L'!G11</f>
        <v/>
      </c>
    </row>
    <row r="5">
      <c r="A5" s="3" t="inlineStr">
        <is>
          <t>(+) Depreciacion (no consume caja)</t>
        </is>
      </c>
      <c r="B5" s="12" t="inlineStr"/>
      <c r="C5" s="12">
        <f>Supuestos!$B$21</f>
        <v/>
      </c>
      <c r="D5" s="12">
        <f>Supuestos!$B$21</f>
        <v/>
      </c>
      <c r="E5" s="12">
        <f>Supuestos!$B$21</f>
        <v/>
      </c>
      <c r="F5" s="12">
        <f>Supuestos!$B$21</f>
        <v/>
      </c>
      <c r="G5" s="12">
        <f>Supuestos!$B$21</f>
        <v/>
      </c>
    </row>
    <row r="6">
      <c r="A6" s="13" t="inlineStr">
        <is>
          <t>Flujo de operacion (CFO)</t>
        </is>
      </c>
      <c r="B6" s="14" t="inlineStr"/>
      <c r="C6" s="14">
        <f>C4+C5</f>
        <v/>
      </c>
      <c r="D6" s="14">
        <f>D4+D5</f>
        <v/>
      </c>
      <c r="E6" s="14">
        <f>E4+E5</f>
        <v/>
      </c>
      <c r="F6" s="14">
        <f>F4+F5</f>
        <v/>
      </c>
      <c r="G6" s="14">
        <f>G4+G5</f>
        <v/>
      </c>
    </row>
    <row r="7">
      <c r="A7" s="3" t="inlineStr">
        <is>
          <t>(-) CapEx</t>
        </is>
      </c>
      <c r="B7" s="12" t="inlineStr"/>
      <c r="C7" s="12">
        <f>-Supuestos!$B$22</f>
        <v/>
      </c>
      <c r="D7" s="12">
        <f>-Supuestos!$B$22</f>
        <v/>
      </c>
      <c r="E7" s="12">
        <f>-Supuestos!$B$22</f>
        <v/>
      </c>
      <c r="F7" s="12">
        <f>-Supuestos!$B$22</f>
        <v/>
      </c>
      <c r="G7" s="12">
        <f>-Supuestos!$B$22</f>
        <v/>
      </c>
    </row>
    <row r="8">
      <c r="A8" s="13" t="inlineStr">
        <is>
          <t>Flujo de inversion (CFI)</t>
        </is>
      </c>
      <c r="B8" s="14" t="inlineStr"/>
      <c r="C8" s="14">
        <f>C7</f>
        <v/>
      </c>
      <c r="D8" s="14">
        <f>D7</f>
        <v/>
      </c>
      <c r="E8" s="14">
        <f>E7</f>
        <v/>
      </c>
      <c r="F8" s="14">
        <f>F7</f>
        <v/>
      </c>
      <c r="G8" s="14">
        <f>G7</f>
        <v/>
      </c>
    </row>
    <row r="9">
      <c r="A9" s="13" t="inlineStr">
        <is>
          <t>Flujo de financiamiento (CFF)</t>
        </is>
      </c>
      <c r="B9" s="14" t="inlineStr"/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</row>
    <row r="10">
      <c r="A10" s="5" t="inlineStr">
        <is>
          <t>Sin cambios en deuda ni dividendos por simplicidad: modelalos aqui cuando los necesites.</t>
        </is>
      </c>
    </row>
    <row r="11">
      <c r="A11" s="13" t="inlineStr">
        <is>
          <t>VARIACION NETA DE EFECTIVO</t>
        </is>
      </c>
      <c r="B11" s="14" t="inlineStr"/>
      <c r="C11" s="14">
        <f>C6+C8+C9</f>
        <v/>
      </c>
      <c r="D11" s="14">
        <f>D6+D8+D9</f>
        <v/>
      </c>
      <c r="E11" s="14">
        <f>E6+E8+E9</f>
        <v/>
      </c>
      <c r="F11" s="14">
        <f>F6+F8+F9</f>
        <v/>
      </c>
      <c r="G11" s="14">
        <f>G6+G8+G9</f>
        <v/>
      </c>
    </row>
    <row r="12">
      <c r="A12" s="3" t="inlineStr">
        <is>
          <t>Efectivo inicial</t>
        </is>
      </c>
      <c r="B12" s="12" t="inlineStr"/>
      <c r="C12" s="12">
        <f>Supuestos!$B$26</f>
        <v/>
      </c>
      <c r="D12" s="12">
        <f>C13</f>
        <v/>
      </c>
      <c r="E12" s="12">
        <f>D13</f>
        <v/>
      </c>
      <c r="F12" s="12">
        <f>E13</f>
        <v/>
      </c>
      <c r="G12" s="12">
        <f>F13</f>
        <v/>
      </c>
    </row>
    <row r="13">
      <c r="A13" s="13" t="inlineStr">
        <is>
          <t>EFECTIVO FINAL (el "plug" del balance)</t>
        </is>
      </c>
      <c r="B13" s="14" t="inlineStr"/>
      <c r="C13" s="14">
        <f>C12+C11</f>
        <v/>
      </c>
      <c r="D13" s="14">
        <f>D12+D11</f>
        <v/>
      </c>
      <c r="E13" s="14">
        <f>E12+E11</f>
        <v/>
      </c>
      <c r="F13" s="14">
        <f>F12+F11</f>
        <v/>
      </c>
      <c r="G13" s="14">
        <f>G12+G11</f>
        <v/>
      </c>
    </row>
    <row r="15">
      <c r="A15" s="2" t="inlineStr">
        <is>
          <t>Flujo de caja libre</t>
        </is>
      </c>
    </row>
    <row r="16">
      <c r="A16" s="13" t="inlineStr">
        <is>
          <t>FCF = CFO - CapEx</t>
        </is>
      </c>
      <c r="B16" s="14" t="inlineStr"/>
      <c r="C16" s="14">
        <f>C6+C7</f>
        <v/>
      </c>
      <c r="D16" s="14">
        <f>D6+D7</f>
        <v/>
      </c>
      <c r="E16" s="14">
        <f>E6+E7</f>
        <v/>
      </c>
      <c r="F16" s="14">
        <f>F6+F7</f>
        <v/>
      </c>
      <c r="G16" s="14">
        <f>G6+G7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BALANCE GENERAL PROYECTADO</t>
        </is>
      </c>
    </row>
    <row r="3">
      <c r="A3" s="6" t="inlineStr">
        <is>
          <t>Concepto</t>
        </is>
      </c>
      <c r="B3" s="6" t="inlineStr">
        <is>
          <t>Ano 0</t>
        </is>
      </c>
      <c r="C3" s="6" t="inlineStr">
        <is>
          <t>Ano 1</t>
        </is>
      </c>
      <c r="D3" s="6" t="inlineStr">
        <is>
          <t>Ano 2</t>
        </is>
      </c>
      <c r="E3" s="6" t="inlineStr">
        <is>
          <t>Ano 3</t>
        </is>
      </c>
      <c r="F3" s="6" t="inlineStr">
        <is>
          <t>Ano 4</t>
        </is>
      </c>
      <c r="G3" s="6" t="inlineStr">
        <is>
          <t>Ano 5</t>
        </is>
      </c>
    </row>
    <row r="4">
      <c r="A4" s="2" t="inlineStr">
        <is>
          <t>ACTIVO</t>
        </is>
      </c>
    </row>
    <row r="5">
      <c r="A5" s="3" t="inlineStr">
        <is>
          <t>Efectivo</t>
        </is>
      </c>
      <c r="B5" s="12">
        <f>Supuestos!$B$26</f>
        <v/>
      </c>
      <c r="C5" s="12">
        <f>'Flujo de Efectivo'!C13</f>
        <v/>
      </c>
      <c r="D5" s="12">
        <f>'Flujo de Efectivo'!D13</f>
        <v/>
      </c>
      <c r="E5" s="12">
        <f>'Flujo de Efectivo'!E13</f>
        <v/>
      </c>
      <c r="F5" s="12">
        <f>'Flujo de Efectivo'!F13</f>
        <v/>
      </c>
      <c r="G5" s="12">
        <f>'Flujo de Efectivo'!G13</f>
        <v/>
      </c>
    </row>
    <row r="6">
      <c r="A6" s="3" t="inlineStr">
        <is>
          <t>Inventario</t>
        </is>
      </c>
      <c r="B6" s="12">
        <f>Supuestos!$B$27</f>
        <v/>
      </c>
      <c r="C6" s="12">
        <f>Supuestos!$B$27</f>
        <v/>
      </c>
      <c r="D6" s="12">
        <f>Supuestos!$B$27</f>
        <v/>
      </c>
      <c r="E6" s="12">
        <f>Supuestos!$B$27</f>
        <v/>
      </c>
      <c r="F6" s="12">
        <f>Supuestos!$B$27</f>
        <v/>
      </c>
      <c r="G6" s="12">
        <f>Supuestos!$B$27</f>
        <v/>
      </c>
    </row>
    <row r="7">
      <c r="A7" s="3" t="inlineStr">
        <is>
          <t>PP&amp;E neto</t>
        </is>
      </c>
      <c r="B7" s="12">
        <f>Supuestos!$B$28</f>
        <v/>
      </c>
      <c r="C7" s="12">
        <f>B7+Supuestos!$B$22-Supuestos!$B$21</f>
        <v/>
      </c>
      <c r="D7" s="12">
        <f>C7+Supuestos!$B$22-Supuestos!$B$21</f>
        <v/>
      </c>
      <c r="E7" s="12">
        <f>D7+Supuestos!$B$22-Supuestos!$B$21</f>
        <v/>
      </c>
      <c r="F7" s="12">
        <f>E7+Supuestos!$B$22-Supuestos!$B$21</f>
        <v/>
      </c>
      <c r="G7" s="12">
        <f>F7+Supuestos!$B$22-Supuestos!$B$21</f>
        <v/>
      </c>
    </row>
    <row r="8">
      <c r="A8" s="13" t="inlineStr">
        <is>
          <t>TOTAL ACTIVO</t>
        </is>
      </c>
      <c r="B8" s="14">
        <f>SUM(B5:B7)</f>
        <v/>
      </c>
      <c r="C8" s="14">
        <f>SUM(C5:C7)</f>
        <v/>
      </c>
      <c r="D8" s="14">
        <f>SUM(D5:D7)</f>
        <v/>
      </c>
      <c r="E8" s="14">
        <f>SUM(E5:E7)</f>
        <v/>
      </c>
      <c r="F8" s="14">
        <f>SUM(F5:F7)</f>
        <v/>
      </c>
      <c r="G8" s="14">
        <f>SUM(G5:G7)</f>
        <v/>
      </c>
    </row>
    <row r="10">
      <c r="A10" s="2" t="inlineStr">
        <is>
          <t>PASIVO Y PATRIMONIO</t>
        </is>
      </c>
    </row>
    <row r="11">
      <c r="A11" s="3" t="inlineStr">
        <is>
          <t>Cuentas por pagar</t>
        </is>
      </c>
      <c r="B11" s="12">
        <f>Supuestos!$B$29</f>
        <v/>
      </c>
      <c r="C11" s="12">
        <f>Supuestos!$B$29</f>
        <v/>
      </c>
      <c r="D11" s="12">
        <f>Supuestos!$B$29</f>
        <v/>
      </c>
      <c r="E11" s="12">
        <f>Supuestos!$B$29</f>
        <v/>
      </c>
      <c r="F11" s="12">
        <f>Supuestos!$B$29</f>
        <v/>
      </c>
      <c r="G11" s="12">
        <f>Supuestos!$B$29</f>
        <v/>
      </c>
    </row>
    <row r="12">
      <c r="A12" s="3" t="inlineStr">
        <is>
          <t>Deuda a largo plazo</t>
        </is>
      </c>
      <c r="B12" s="12">
        <f>Supuestos!$B$30</f>
        <v/>
      </c>
      <c r="C12" s="12">
        <f>Supuestos!$B$30</f>
        <v/>
      </c>
      <c r="D12" s="12">
        <f>Supuestos!$B$30</f>
        <v/>
      </c>
      <c r="E12" s="12">
        <f>Supuestos!$B$30</f>
        <v/>
      </c>
      <c r="F12" s="12">
        <f>Supuestos!$B$30</f>
        <v/>
      </c>
      <c r="G12" s="12">
        <f>Supuestos!$B$30</f>
        <v/>
      </c>
    </row>
    <row r="13">
      <c r="A13" s="3" t="inlineStr">
        <is>
          <t>Ganancias retenidas</t>
        </is>
      </c>
      <c r="B13" s="12">
        <f>Supuestos!$B$31</f>
        <v/>
      </c>
      <c r="C13" s="12">
        <f>B13+'P&amp;L'!C11</f>
        <v/>
      </c>
      <c r="D13" s="12">
        <f>C13+'P&amp;L'!D11</f>
        <v/>
      </c>
      <c r="E13" s="12">
        <f>D13+'P&amp;L'!E11</f>
        <v/>
      </c>
      <c r="F13" s="12">
        <f>E13+'P&amp;L'!F11</f>
        <v/>
      </c>
      <c r="G13" s="12">
        <f>F13+'P&amp;L'!G11</f>
        <v/>
      </c>
    </row>
    <row r="14">
      <c r="A14" s="13" t="inlineStr">
        <is>
          <t>TOTAL PASIVO + PATRIMONIO</t>
        </is>
      </c>
      <c r="B14" s="14">
        <f>SUM(B11:B13)</f>
        <v/>
      </c>
      <c r="C14" s="14">
        <f>SUM(C11:C13)</f>
        <v/>
      </c>
      <c r="D14" s="14">
        <f>SUM(D11:D13)</f>
        <v/>
      </c>
      <c r="E14" s="14">
        <f>SUM(E11:E13)</f>
        <v/>
      </c>
      <c r="F14" s="14">
        <f>SUM(F11:F13)</f>
        <v/>
      </c>
      <c r="G14" s="14">
        <f>SUM(G11:G13)</f>
        <v/>
      </c>
    </row>
    <row r="16">
      <c r="A16" s="2" t="inlineStr">
        <is>
          <t>COMPROBACION</t>
        </is>
      </c>
    </row>
    <row r="17">
      <c r="A17" s="13" t="inlineStr">
        <is>
          <t>Activo - (Pasivo + Patrimonio)  -&gt;  debe ser 0</t>
        </is>
      </c>
      <c r="B17" s="15">
        <f>B8-B14</f>
        <v/>
      </c>
      <c r="C17" s="15">
        <f>C8-C14</f>
        <v/>
      </c>
      <c r="D17" s="15">
        <f>D8-D14</f>
        <v/>
      </c>
      <c r="E17" s="15">
        <f>E8-E14</f>
        <v/>
      </c>
      <c r="F17" s="15">
        <f>F8-F14</f>
        <v/>
      </c>
      <c r="G17" s="15">
        <f>G8-G14</f>
        <v/>
      </c>
    </row>
    <row r="19">
      <c r="A19" s="5" t="inlineStr">
        <is>
          <t>Verde = el balance cuadra. Rojo = hay un error de logica: NUNCA lo fuerces a mano.</t>
        </is>
      </c>
    </row>
  </sheetData>
  <mergeCells count="1">
    <mergeCell ref="A1:G1"/>
  </mergeCells>
  <conditionalFormatting sqref="B17:G17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2026-08-22T02:46:47Z</dcterms:created>
  <dcterms:modified xsi:type="dcterms:W3CDTF">2026-08-22T02:46:47Z</dcterms:modified>
</cp:coreProperties>
</file>