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Supuestos" sheetId="1" state="visible" r:id="rId1"/>
    <sheet name="2 Proyeccion" sheetId="2" state="visible" r:id="rId2"/>
    <sheet name="3 Valuacion DCF" sheetId="3" state="visible" r:id="rId3"/>
    <sheet name="4 Comparables" sheetId="4" state="visible" r:id="rId4"/>
    <sheet name="5 Rubric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7F7F7F"/>
      <sz val="9"/>
    </font>
    <font>
      <b val="1"/>
      <color rgb="001F77B4"/>
      <sz val="11"/>
    </font>
    <font>
      <sz val="11"/>
    </font>
    <font>
      <b val="1"/>
      <color rgb="00FFFFFF"/>
      <sz val="11"/>
    </font>
    <font>
      <b val="1"/>
      <sz val="11"/>
    </font>
    <font>
      <b val="1"/>
      <sz val="13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FF2CC"/>
      </patternFill>
    </fill>
    <fill>
      <patternFill patternType="solid">
        <fgColor rgb="007F7F7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4" fillId="3" borderId="1" pivotButton="0" quotePrefix="0" xfId="0"/>
    <xf numFmtId="0" fontId="5" fillId="4" borderId="1" applyAlignment="1" pivotButton="0" quotePrefix="0" xfId="0">
      <alignment horizontal="center"/>
    </xf>
    <xf numFmtId="164" fontId="4" fillId="3" borderId="1" pivotButton="0" quotePrefix="0" xfId="0"/>
    <xf numFmtId="164" fontId="4" fillId="0" borderId="1" pivotButton="0" quotePrefix="0" xfId="0"/>
    <xf numFmtId="3" fontId="4" fillId="3" borderId="1" pivotButton="0" quotePrefix="0" xfId="0"/>
    <xf numFmtId="4" fontId="4" fillId="3" borderId="1" pivotButton="0" quotePrefix="0" xfId="0"/>
    <xf numFmtId="10" fontId="4" fillId="3" borderId="1" pivotButton="0" quotePrefix="0" xfId="0"/>
    <xf numFmtId="10" fontId="4" fillId="0" borderId="1" pivotButton="0" quotePrefix="0" xfId="0"/>
    <xf numFmtId="3" fontId="4" fillId="0" borderId="1" pivotButton="0" quotePrefix="0" xfId="0"/>
    <xf numFmtId="0" fontId="6" fillId="5" borderId="0" pivotButton="0" quotePrefix="0" xfId="0"/>
    <xf numFmtId="10" fontId="7" fillId="5" borderId="1" pivotButton="0" quotePrefix="0" xfId="0"/>
    <xf numFmtId="3" fontId="6" fillId="5" borderId="1" pivotButton="0" quotePrefix="0" xfId="0"/>
    <xf numFmtId="165" fontId="4" fillId="0" borderId="1" pivotButton="0" quotePrefix="0" xfId="0"/>
    <xf numFmtId="4" fontId="4" fillId="0" borderId="1" pivotButton="0" quotePrefix="0" xfId="0"/>
    <xf numFmtId="4" fontId="6" fillId="5" borderId="1" pivotButton="0" quotePrefix="0" xfId="0"/>
    <xf numFmtId="4" fontId="8" fillId="5" borderId="1" pivotButton="0" quotePrefix="0" xfId="0"/>
    <xf numFmtId="164" fontId="6" fillId="5" borderId="1" pivotButton="0" quotePrefix="0" xfId="0"/>
    <xf numFmtId="0" fontId="8" fillId="5" borderId="1" applyAlignment="1" pivotButton="0" quotePrefix="0" xfId="0">
      <alignment horizontal="center"/>
    </xf>
    <xf numFmtId="1" fontId="4" fillId="0" borderId="1" pivotButton="0" quotePrefix="0" xfId="0"/>
    <xf numFmtId="1" fontId="6" fillId="5" borderId="1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SUPUESTOS  ·  sustituye los datos de ejemplo por los de tu empresa</t>
        </is>
      </c>
    </row>
    <row r="3">
      <c r="A3" s="2" t="inlineStr">
        <is>
          <t>Regla de oro: ningun numero escrito a mano fuera de esta hoja. Todo lo demas son formulas.</t>
        </is>
      </c>
    </row>
    <row r="5">
      <c r="A5" s="3" t="inlineStr">
        <is>
          <t>Escenario</t>
        </is>
      </c>
    </row>
    <row r="6">
      <c r="A6" s="4" t="inlineStr">
        <is>
          <t>Escenario (1=Base  2=Optimista  3=Pesimista)</t>
        </is>
      </c>
      <c r="B6" s="5" t="n">
        <v>1</v>
      </c>
    </row>
    <row r="8">
      <c r="A8" s="6" t="inlineStr">
        <is>
          <t>Supuesto</t>
        </is>
      </c>
      <c r="B8" s="6" t="inlineStr">
        <is>
          <t>Base</t>
        </is>
      </c>
      <c r="C8" s="6" t="inlineStr">
        <is>
          <t>Optimista</t>
        </is>
      </c>
      <c r="D8" s="6" t="inlineStr">
        <is>
          <t>Pesimista</t>
        </is>
      </c>
    </row>
    <row r="9">
      <c r="A9" s="4" t="inlineStr">
        <is>
          <t>Crecimiento de ventas</t>
        </is>
      </c>
      <c r="B9" s="7" t="n">
        <v>0.08</v>
      </c>
      <c r="C9" s="7" t="n">
        <v>0.14</v>
      </c>
      <c r="D9" s="7" t="n">
        <v>0.02</v>
      </c>
    </row>
    <row r="10">
      <c r="A10" s="4" t="inlineStr">
        <is>
          <t>Margen EBIT</t>
        </is>
      </c>
      <c r="B10" s="7" t="n">
        <v>0.18</v>
      </c>
      <c r="C10" s="7" t="n">
        <v>0.22</v>
      </c>
      <c r="D10" s="7" t="n">
        <v>0.13</v>
      </c>
    </row>
    <row r="11">
      <c r="A11" s="4" t="inlineStr">
        <is>
          <t>CapEx como % de ventas</t>
        </is>
      </c>
      <c r="B11" s="7" t="n">
        <v>0.06</v>
      </c>
      <c r="C11" s="7" t="n">
        <v>0.05</v>
      </c>
      <c r="D11" s="7" t="n">
        <v>0.08</v>
      </c>
    </row>
    <row r="12">
      <c r="A12" s="4" t="inlineStr">
        <is>
          <t>Cambio en capital de trabajo como % de ventas</t>
        </is>
      </c>
      <c r="B12" s="7" t="n">
        <v>0.02</v>
      </c>
      <c r="C12" s="7" t="n">
        <v>0.015</v>
      </c>
      <c r="D12" s="7" t="n">
        <v>0.035</v>
      </c>
    </row>
    <row r="14">
      <c r="A14" s="3" t="inlineStr">
        <is>
          <t>Supuestos activos</t>
        </is>
      </c>
    </row>
    <row r="15">
      <c r="A15" s="4" t="inlineStr">
        <is>
          <t>Crecimiento de ventas</t>
        </is>
      </c>
      <c r="B15" s="8">
        <f>IFERROR(CHOOSE($B6,B9,C9,D9),"Escenario invalido")</f>
        <v/>
      </c>
    </row>
    <row r="16">
      <c r="A16" s="4" t="inlineStr">
        <is>
          <t>Margen EBIT</t>
        </is>
      </c>
      <c r="B16" s="8">
        <f>IFERROR(CHOOSE($B6,B10,C10,D10),"Escenario invalido")</f>
        <v/>
      </c>
    </row>
    <row r="17">
      <c r="A17" s="4" t="inlineStr">
        <is>
          <t>CapEx como % de ventas</t>
        </is>
      </c>
      <c r="B17" s="8">
        <f>IFERROR(CHOOSE($B6,B11,C11,D11),"Escenario invalido")</f>
        <v/>
      </c>
    </row>
    <row r="18">
      <c r="A18" s="4" t="inlineStr">
        <is>
          <t>Cambio en capital de trabajo como % de ventas</t>
        </is>
      </c>
      <c r="B18" s="8">
        <f>IFERROR(CHOOSE($B6,B12,C12,D12),"Escenario invalido")</f>
        <v/>
      </c>
    </row>
    <row r="20">
      <c r="A20" s="3" t="inlineStr">
        <is>
          <t>Datos historicos y financieros</t>
        </is>
      </c>
    </row>
    <row r="21">
      <c r="A21" s="4" t="inlineStr">
        <is>
          <t>Ventas del ultimo ano reportado</t>
        </is>
      </c>
      <c r="B21" s="9" t="n">
        <v>10000</v>
      </c>
    </row>
    <row r="22">
      <c r="A22" s="4" t="inlineStr">
        <is>
          <t>Depreciacion como % de ventas</t>
        </is>
      </c>
      <c r="B22" s="7" t="n">
        <v>0.04</v>
      </c>
    </row>
    <row r="23">
      <c r="A23" s="4" t="inlineStr">
        <is>
          <t>Tasa impositiva efectiva</t>
        </is>
      </c>
      <c r="B23" s="7" t="n">
        <v>0.25</v>
      </c>
    </row>
    <row r="24">
      <c r="A24" s="4" t="inlineStr">
        <is>
          <t>Deuda financiera total</t>
        </is>
      </c>
      <c r="B24" s="9" t="n">
        <v>3000</v>
      </c>
    </row>
    <row r="25">
      <c r="A25" s="4" t="inlineStr">
        <is>
          <t>Efectivo y equivalentes</t>
        </is>
      </c>
      <c r="B25" s="9" t="n">
        <v>800</v>
      </c>
    </row>
    <row r="26">
      <c r="A26" s="4" t="inlineStr">
        <is>
          <t>Acciones en circulacion (millones)</t>
        </is>
      </c>
      <c r="B26" s="10" t="n">
        <v>315</v>
      </c>
    </row>
    <row r="27">
      <c r="A27" s="4" t="inlineStr">
        <is>
          <t>Precio actual de mercado por accion</t>
        </is>
      </c>
      <c r="B27" s="10" t="n">
        <v>42</v>
      </c>
    </row>
    <row r="29">
      <c r="A29" s="3" t="inlineStr">
        <is>
          <t>Costo de capital (WACC)</t>
        </is>
      </c>
    </row>
    <row r="30">
      <c r="A30" s="4" t="inlineStr">
        <is>
          <t>Tasa libre de riesgo</t>
        </is>
      </c>
      <c r="B30" s="11" t="n">
        <v>0.04</v>
      </c>
    </row>
    <row r="31">
      <c r="A31" s="4" t="inlineStr">
        <is>
          <t>Beta</t>
        </is>
      </c>
      <c r="B31" s="10" t="n">
        <v>1.15</v>
      </c>
    </row>
    <row r="32">
      <c r="A32" s="4" t="inlineStr">
        <is>
          <t>Prima por riesgo de mercado</t>
        </is>
      </c>
      <c r="B32" s="11" t="n">
        <v>0.055</v>
      </c>
    </row>
    <row r="33">
      <c r="A33" s="4" t="inlineStr">
        <is>
          <t>Costo de la deuda antes de impuestos</t>
        </is>
      </c>
      <c r="B33" s="11" t="n">
        <v>0.065</v>
      </c>
    </row>
    <row r="34">
      <c r="A34" s="4" t="inlineStr">
        <is>
          <t>Costo del patrimonio (CAPM)</t>
        </is>
      </c>
      <c r="B34" s="12">
        <f>B30+B31*B32</f>
        <v/>
      </c>
    </row>
    <row r="35">
      <c r="A35" s="4" t="inlineStr">
        <is>
          <t>Valor de mercado del patrimonio  (precio x acciones)</t>
        </is>
      </c>
      <c r="B35" s="13">
        <f>'1 Supuestos'!$B$27*'1 Supuestos'!$B$26</f>
        <v/>
      </c>
    </row>
    <row r="36">
      <c r="A36" s="14" t="inlineStr">
        <is>
          <t>WACC</t>
        </is>
      </c>
      <c r="B36" s="15">
        <f>(B35/(B35+'1 Supuestos'!$B$24))*B34+('1 Supuestos'!$B$24/(B35+'1 Supuestos'!$B$24))*B33*(1-'1 Supuestos'!$B$23)</f>
        <v/>
      </c>
    </row>
    <row r="37">
      <c r="A37" s="4" t="inlineStr">
        <is>
          <t>Crecimiento perpetuo (g)</t>
        </is>
      </c>
      <c r="B37" s="11" t="n">
        <v>0.02</v>
      </c>
    </row>
    <row r="38">
      <c r="A38" s="2" t="inlineStr">
        <is>
          <t>g nunca debe superar el crecimiento nominal de la economia (2-3%). Y jamas al WACC.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PROYECCION DE FLUJOS A 5 ANOS</t>
        </is>
      </c>
    </row>
    <row r="3">
      <c r="A3" s="6" t="inlineStr">
        <is>
          <t>Concepto</t>
        </is>
      </c>
      <c r="B3" s="6" t="inlineStr">
        <is>
          <t>Ano 0</t>
        </is>
      </c>
      <c r="C3" s="6" t="inlineStr">
        <is>
          <t>Ano 1</t>
        </is>
      </c>
      <c r="D3" s="6" t="inlineStr">
        <is>
          <t>Ano 2</t>
        </is>
      </c>
      <c r="E3" s="6" t="inlineStr">
        <is>
          <t>Ano 3</t>
        </is>
      </c>
      <c r="F3" s="6" t="inlineStr">
        <is>
          <t>Ano 4</t>
        </is>
      </c>
      <c r="G3" s="6" t="inlineStr">
        <is>
          <t>Ano 5</t>
        </is>
      </c>
    </row>
    <row r="4">
      <c r="A4" s="4" t="inlineStr">
        <is>
          <t>Ventas</t>
        </is>
      </c>
      <c r="B4" s="13">
        <f>'1 Supuestos'!$B$21</f>
        <v/>
      </c>
      <c r="C4" s="13">
        <f>B4*(1+'1 Supuestos'!$B$15)</f>
        <v/>
      </c>
      <c r="D4" s="13">
        <f>C4*(1+'1 Supuestos'!$B$15)</f>
        <v/>
      </c>
      <c r="E4" s="13">
        <f>D4*(1+'1 Supuestos'!$B$15)</f>
        <v/>
      </c>
      <c r="F4" s="13">
        <f>E4*(1+'1 Supuestos'!$B$15)</f>
        <v/>
      </c>
      <c r="G4" s="13">
        <f>F4*(1+'1 Supuestos'!$B$15)</f>
        <v/>
      </c>
    </row>
    <row r="5">
      <c r="A5" s="14" t="inlineStr">
        <is>
          <t>EBIT</t>
        </is>
      </c>
      <c r="B5" s="16">
        <f>B4*'1 Supuestos'!$B$16</f>
        <v/>
      </c>
      <c r="C5" s="16">
        <f>C4*'1 Supuestos'!$B$16</f>
        <v/>
      </c>
      <c r="D5" s="16">
        <f>D4*'1 Supuestos'!$B$16</f>
        <v/>
      </c>
      <c r="E5" s="16">
        <f>E4*'1 Supuestos'!$B$16</f>
        <v/>
      </c>
      <c r="F5" s="16">
        <f>F4*'1 Supuestos'!$B$16</f>
        <v/>
      </c>
      <c r="G5" s="16">
        <f>G4*'1 Supuestos'!$B$16</f>
        <v/>
      </c>
    </row>
    <row r="6">
      <c r="A6" s="14" t="inlineStr">
        <is>
          <t>NOPAT  =  EBIT x (1 - t)</t>
        </is>
      </c>
      <c r="B6" s="16">
        <f>B5*(1-'1 Supuestos'!$B$23)</f>
        <v/>
      </c>
      <c r="C6" s="16">
        <f>C5*(1-'1 Supuestos'!$B$23)</f>
        <v/>
      </c>
      <c r="D6" s="16">
        <f>D5*(1-'1 Supuestos'!$B$23)</f>
        <v/>
      </c>
      <c r="E6" s="16">
        <f>E5*(1-'1 Supuestos'!$B$23)</f>
        <v/>
      </c>
      <c r="F6" s="16">
        <f>F5*(1-'1 Supuestos'!$B$23)</f>
        <v/>
      </c>
      <c r="G6" s="16">
        <f>G5*(1-'1 Supuestos'!$B$23)</f>
        <v/>
      </c>
    </row>
    <row r="7">
      <c r="A7" s="4" t="inlineStr">
        <is>
          <t>(+) Depreciacion y amortizacion</t>
        </is>
      </c>
      <c r="B7" s="13">
        <f>B4*'1 Supuestos'!$B$22</f>
        <v/>
      </c>
      <c r="C7" s="13">
        <f>C4*'1 Supuestos'!$B$22</f>
        <v/>
      </c>
      <c r="D7" s="13">
        <f>D4*'1 Supuestos'!$B$22</f>
        <v/>
      </c>
      <c r="E7" s="13">
        <f>E4*'1 Supuestos'!$B$22</f>
        <v/>
      </c>
      <c r="F7" s="13">
        <f>F4*'1 Supuestos'!$B$22</f>
        <v/>
      </c>
      <c r="G7" s="13">
        <f>G4*'1 Supuestos'!$B$22</f>
        <v/>
      </c>
    </row>
    <row r="8">
      <c r="A8" s="4" t="inlineStr">
        <is>
          <t>(-) CapEx</t>
        </is>
      </c>
      <c r="B8" s="13">
        <f>-B4*'1 Supuestos'!$B$17</f>
        <v/>
      </c>
      <c r="C8" s="13">
        <f>-C4*'1 Supuestos'!$B$17</f>
        <v/>
      </c>
      <c r="D8" s="13">
        <f>-D4*'1 Supuestos'!$B$17</f>
        <v/>
      </c>
      <c r="E8" s="13">
        <f>-E4*'1 Supuestos'!$B$17</f>
        <v/>
      </c>
      <c r="F8" s="13">
        <f>-F4*'1 Supuestos'!$B$17</f>
        <v/>
      </c>
      <c r="G8" s="13">
        <f>-G4*'1 Supuestos'!$B$17</f>
        <v/>
      </c>
    </row>
    <row r="9">
      <c r="A9" s="4" t="inlineStr">
        <is>
          <t>(-) Cambio en capital de trabajo</t>
        </is>
      </c>
      <c r="B9" s="13">
        <f>-B4*'1 Supuestos'!$B$18</f>
        <v/>
      </c>
      <c r="C9" s="13">
        <f>-C4*'1 Supuestos'!$B$18</f>
        <v/>
      </c>
      <c r="D9" s="13">
        <f>-D4*'1 Supuestos'!$B$18</f>
        <v/>
      </c>
      <c r="E9" s="13">
        <f>-E4*'1 Supuestos'!$B$18</f>
        <v/>
      </c>
      <c r="F9" s="13">
        <f>-F4*'1 Supuestos'!$B$18</f>
        <v/>
      </c>
      <c r="G9" s="13">
        <f>-G4*'1 Supuestos'!$B$18</f>
        <v/>
      </c>
    </row>
    <row r="10">
      <c r="A10" s="14" t="inlineStr">
        <is>
          <t>FCFF</t>
        </is>
      </c>
      <c r="B10" s="16">
        <f>B6+B7+B8+B9</f>
        <v/>
      </c>
      <c r="C10" s="16">
        <f>C6+C7+C8+C9</f>
        <v/>
      </c>
      <c r="D10" s="16">
        <f>D6+D7+D8+D9</f>
        <v/>
      </c>
      <c r="E10" s="16">
        <f>E6+E7+E8+E9</f>
        <v/>
      </c>
      <c r="F10" s="16">
        <f>F6+F7+F8+F9</f>
        <v/>
      </c>
      <c r="G10" s="16">
        <f>G6+G7+G8+G9</f>
        <v/>
      </c>
    </row>
    <row r="12">
      <c r="A12" s="2" t="inlineStr">
        <is>
          <t>El FCFF no resta intereses: pertenece a accionistas Y acreedores, y el financiamiento ya esta en el WACC.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VALUACION POR DCF</t>
        </is>
      </c>
    </row>
    <row r="3">
      <c r="A3" s="6" t="inlineStr">
        <is>
          <t>Concepto</t>
        </is>
      </c>
      <c r="B3" s="6" t="inlineStr">
        <is>
          <t>Ano 1</t>
        </is>
      </c>
      <c r="C3" s="6" t="inlineStr">
        <is>
          <t>Ano 2</t>
        </is>
      </c>
      <c r="D3" s="6" t="inlineStr">
        <is>
          <t>Ano 3</t>
        </is>
      </c>
      <c r="E3" s="6" t="inlineStr">
        <is>
          <t>Ano 4</t>
        </is>
      </c>
      <c r="F3" s="6" t="inlineStr">
        <is>
          <t>Ano 5</t>
        </is>
      </c>
    </row>
    <row r="4">
      <c r="A4" s="4" t="inlineStr">
        <is>
          <t>FCFF proyectado</t>
        </is>
      </c>
      <c r="B4" s="13">
        <f>'2 Proyeccion'!C10</f>
        <v/>
      </c>
      <c r="C4" s="13">
        <f>'2 Proyeccion'!D10</f>
        <v/>
      </c>
      <c r="D4" s="13">
        <f>'2 Proyeccion'!E10</f>
        <v/>
      </c>
      <c r="E4" s="13">
        <f>'2 Proyeccion'!F10</f>
        <v/>
      </c>
      <c r="F4" s="13">
        <f>'2 Proyeccion'!G10</f>
        <v/>
      </c>
    </row>
    <row r="5">
      <c r="A5" s="4" t="inlineStr">
        <is>
          <t>Factor de descuento</t>
        </is>
      </c>
      <c r="B5" s="17">
        <f>1/(1+'1 Supuestos'!$B$36)^1</f>
        <v/>
      </c>
      <c r="C5" s="17">
        <f>1/(1+'1 Supuestos'!$B$36)^2</f>
        <v/>
      </c>
      <c r="D5" s="17">
        <f>1/(1+'1 Supuestos'!$B$36)^3</f>
        <v/>
      </c>
      <c r="E5" s="17">
        <f>1/(1+'1 Supuestos'!$B$36)^4</f>
        <v/>
      </c>
      <c r="F5" s="17">
        <f>1/(1+'1 Supuestos'!$B$36)^5</f>
        <v/>
      </c>
    </row>
    <row r="6">
      <c r="A6" s="4" t="inlineStr">
        <is>
          <t>Valor presente</t>
        </is>
      </c>
      <c r="B6" s="18">
        <f>B4*B5</f>
        <v/>
      </c>
      <c r="C6" s="18">
        <f>C4*C5</f>
        <v/>
      </c>
      <c r="D6" s="18">
        <f>D4*D5</f>
        <v/>
      </c>
      <c r="E6" s="18">
        <f>E4*E5</f>
        <v/>
      </c>
      <c r="F6" s="18">
        <f>F4*F5</f>
        <v/>
      </c>
    </row>
    <row r="8">
      <c r="A8" s="14" t="inlineStr">
        <is>
          <t>Suma de VP explicitos</t>
        </is>
      </c>
      <c r="B8" s="19">
        <f>SUM(B6:F6)</f>
        <v/>
      </c>
    </row>
    <row r="9">
      <c r="A9" s="4" t="inlineStr">
        <is>
          <t>Valor terminal (Gordon) al final del Ano 5</t>
        </is>
      </c>
      <c r="B9" s="18">
        <f>IFERROR(F4*(1+'1 Supuestos'!$B$37)/('1 Supuestos'!$B$36-'1 Supuestos'!$B$37),"g &gt;= WACC: revisa los supuestos")</f>
        <v/>
      </c>
    </row>
    <row r="10">
      <c r="A10" s="14" t="inlineStr">
        <is>
          <t>VP del valor terminal</t>
        </is>
      </c>
      <c r="B10" s="19">
        <f>B9*F5</f>
        <v/>
      </c>
    </row>
    <row r="11">
      <c r="A11" s="4" t="inlineStr">
        <is>
          <t>Peso del valor terminal sobre el EV</t>
        </is>
      </c>
      <c r="B11" s="8">
        <f>B10/(B8+B10)</f>
        <v/>
      </c>
    </row>
    <row r="13">
      <c r="A13" s="3" t="inlineStr">
        <is>
          <t>Puente al valor por accion</t>
        </is>
      </c>
    </row>
    <row r="14">
      <c r="A14" s="14" t="inlineStr">
        <is>
          <t>ENTERPRISE VALUE</t>
        </is>
      </c>
      <c r="B14" s="19">
        <f>B8+B10</f>
        <v/>
      </c>
    </row>
    <row r="15">
      <c r="A15" s="4" t="inlineStr">
        <is>
          <t>(-) Deuda financiera</t>
        </is>
      </c>
      <c r="B15" s="18">
        <f>-'1 Supuestos'!$B$24</f>
        <v/>
      </c>
    </row>
    <row r="16">
      <c r="A16" s="4" t="inlineStr">
        <is>
          <t>(+) Efectivo y equivalentes</t>
        </is>
      </c>
      <c r="B16" s="18">
        <f>'1 Supuestos'!$B$25</f>
        <v/>
      </c>
    </row>
    <row r="17">
      <c r="A17" s="14" t="inlineStr">
        <is>
          <t>EQUITY VALUE</t>
        </is>
      </c>
      <c r="B17" s="19">
        <f>B14-'1 Supuestos'!$B$24+'1 Supuestos'!$B$25</f>
        <v/>
      </c>
    </row>
    <row r="18">
      <c r="A18" s="14" t="inlineStr">
        <is>
          <t>TARGET PRICE POR DCF</t>
        </is>
      </c>
      <c r="B18" s="20">
        <f>IFERROR(B17/'1 Supuestos'!$B$26,"Revisa las acciones")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1" t="inlineStr">
        <is>
          <t>VALUACION RELATIVA POR MULTIPLOS (COMPS)</t>
        </is>
      </c>
    </row>
    <row r="3">
      <c r="A3" s="6" t="inlineStr">
        <is>
          <t>Empresa comparable</t>
        </is>
      </c>
      <c r="B3" s="6" t="inlineStr">
        <is>
          <t>EV/EBITDA</t>
        </is>
      </c>
      <c r="C3" s="6" t="inlineStr">
        <is>
          <t>P/E</t>
        </is>
      </c>
      <c r="D3" s="6" t="inlineStr">
        <is>
          <t>P/S</t>
        </is>
      </c>
      <c r="E3" s="6" t="inlineStr">
        <is>
          <t>Crecimiento</t>
        </is>
      </c>
    </row>
    <row r="4">
      <c r="A4" s="4" t="inlineStr">
        <is>
          <t>Comparable 1</t>
        </is>
      </c>
      <c r="B4" s="10" t="n">
        <v>6.8</v>
      </c>
      <c r="C4" s="10" t="n">
        <v>14.2</v>
      </c>
      <c r="D4" s="10" t="n">
        <v>1.1</v>
      </c>
      <c r="E4" s="10" t="n">
        <v>0.07000000000000001</v>
      </c>
    </row>
    <row r="5">
      <c r="A5" s="4" t="inlineStr">
        <is>
          <t>Comparable 2</t>
        </is>
      </c>
      <c r="B5" s="10" t="n">
        <v>7.6</v>
      </c>
      <c r="C5" s="10" t="n">
        <v>16.4</v>
      </c>
      <c r="D5" s="10" t="n">
        <v>1.4</v>
      </c>
      <c r="E5" s="10" t="n">
        <v>0.11</v>
      </c>
    </row>
    <row r="6">
      <c r="A6" s="4" t="inlineStr">
        <is>
          <t>Comparable 3</t>
        </is>
      </c>
      <c r="B6" s="10" t="n">
        <v>6.2</v>
      </c>
      <c r="C6" s="10" t="n">
        <v>12.9</v>
      </c>
      <c r="D6" s="10" t="n">
        <v>0.9</v>
      </c>
      <c r="E6" s="10" t="n">
        <v>0.04</v>
      </c>
    </row>
    <row r="7">
      <c r="A7" s="4" t="inlineStr">
        <is>
          <t>Comparable 4</t>
        </is>
      </c>
      <c r="B7" s="10" t="n">
        <v>7.9</v>
      </c>
      <c r="C7" s="10" t="n">
        <v>17.1</v>
      </c>
      <c r="D7" s="10" t="n">
        <v>1.5</v>
      </c>
      <c r="E7" s="10" t="n">
        <v>0.09</v>
      </c>
    </row>
    <row r="8">
      <c r="A8" s="14" t="inlineStr">
        <is>
          <t>MEDIANA del sector</t>
        </is>
      </c>
      <c r="B8" s="19">
        <f>MEDIAN(B4:B7)</f>
        <v/>
      </c>
      <c r="C8" s="19">
        <f>MEDIAN(C4:C7)</f>
        <v/>
      </c>
      <c r="D8" s="19">
        <f>MEDIAN(D4:D7)</f>
        <v/>
      </c>
      <c r="E8" s="19">
        <f>MEDIAN(E4:E7)</f>
        <v/>
      </c>
    </row>
    <row r="9">
      <c r="A9" s="2" t="inlineStr">
        <is>
          <t>Usa la MEDIANA, no la media: un solo comparable atipico distorsiona el promedio.</t>
        </is>
      </c>
    </row>
    <row r="11">
      <c r="A11" s="3" t="inlineStr">
        <is>
          <t>Aplicacion del multiplo a tu empresa</t>
        </is>
      </c>
    </row>
    <row r="12">
      <c r="A12" s="4" t="inlineStr">
        <is>
          <t>EBITDA del Ano 1 (EBIT + D&amp;A)</t>
        </is>
      </c>
      <c r="B12" s="18">
        <f>'2 Proyeccion'!C5+'2 Proyeccion'!C7</f>
        <v/>
      </c>
    </row>
    <row r="13">
      <c r="A13" s="4" t="inlineStr">
        <is>
          <t>Enterprise Value implicito  (mediana EV/EBITDA x EBITDA)</t>
        </is>
      </c>
      <c r="B13" s="18">
        <f>B8*B12</f>
        <v/>
      </c>
    </row>
    <row r="14">
      <c r="A14" s="4" t="inlineStr">
        <is>
          <t>Equity Value implicito</t>
        </is>
      </c>
      <c r="B14" s="18">
        <f>B13-'1 Supuestos'!$B$24+'1 Supuestos'!$B$25</f>
        <v/>
      </c>
    </row>
    <row r="15">
      <c r="A15" s="14" t="inlineStr">
        <is>
          <t>TARGET PRICE POR COMPS</t>
        </is>
      </c>
      <c r="B15" s="19">
        <f>IFERROR(B14/'1 Supuestos'!$B$26,"Revisa las acciones")</f>
        <v/>
      </c>
    </row>
    <row r="17">
      <c r="A17" s="3" t="inlineStr">
        <is>
          <t>Precio objetivo mezclado (Blended)</t>
        </is>
      </c>
    </row>
    <row r="18">
      <c r="A18" s="4" t="inlineStr">
        <is>
          <t>Peso del DCF</t>
        </is>
      </c>
      <c r="B18" s="7" t="n">
        <v>0.6</v>
      </c>
    </row>
    <row r="19">
      <c r="A19" s="4" t="inlineStr">
        <is>
          <t>Peso de los Comps</t>
        </is>
      </c>
      <c r="B19" s="8">
        <f>1-B18</f>
        <v/>
      </c>
    </row>
    <row r="20">
      <c r="A20" s="4" t="inlineStr">
        <is>
          <t>Target price DCF</t>
        </is>
      </c>
      <c r="B20" s="18">
        <f>'3 Valuacion DCF'!$B$18</f>
        <v/>
      </c>
    </row>
    <row r="21">
      <c r="A21" s="4" t="inlineStr">
        <is>
          <t>Target price Comps</t>
        </is>
      </c>
      <c r="B21" s="18">
        <f>'4 Comparables'!$B$15</f>
        <v/>
      </c>
    </row>
    <row r="22">
      <c r="A22" s="14" t="inlineStr">
        <is>
          <t>PRECIO OBJETIVO FINAL</t>
        </is>
      </c>
      <c r="B22" s="20">
        <f>B18*'3 Valuacion DCF'!$B$18+B19*'4 Comparables'!$B$15</f>
        <v/>
      </c>
    </row>
    <row r="23">
      <c r="A23" s="4" t="inlineStr">
        <is>
          <t>Precio actual de mercado</t>
        </is>
      </c>
      <c r="B23" s="18">
        <f>'1 Supuestos'!$B$27</f>
        <v/>
      </c>
    </row>
    <row r="24">
      <c r="A24" s="14" t="inlineStr">
        <is>
          <t>UPSIDE / DOWNSIDE</t>
        </is>
      </c>
      <c r="B24" s="21">
        <f>IFERROR(B22/'1 Supuestos'!$B$27-1,"")</f>
        <v/>
      </c>
    </row>
    <row r="25">
      <c r="A25" s="14" t="inlineStr">
        <is>
          <t>RECOMENDACION</t>
        </is>
      </c>
      <c r="B25" s="22">
        <f>IF(B24&gt;0.15,"COMPRAR",IF(B24&lt;-0.10,"VENDER","MANTENER"))</f>
        <v/>
      </c>
    </row>
    <row r="26">
      <c r="A26" s="2" t="inlineStr">
        <is>
          <t>Los umbrales (+15% / -10%) son convencion habitual de research; ajustalos y justificalos.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76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AUTOEVALUACION CONTRA LA RUBRICA (100 puntos)</t>
        </is>
      </c>
    </row>
    <row r="3">
      <c r="A3" s="2" t="inlineStr">
        <is>
          <t>Puntuate antes de entregar. Escribe tu puntaje en la columna amarilla.</t>
        </is>
      </c>
    </row>
    <row r="5">
      <c r="A5" s="6" t="inlineStr">
        <is>
          <t>Criterio</t>
        </is>
      </c>
      <c r="B5" s="6" t="inlineStr">
        <is>
          <t>Maximo</t>
        </is>
      </c>
      <c r="C5" s="6" t="inlineStr">
        <is>
          <t>Tu puntaje</t>
        </is>
      </c>
    </row>
    <row r="6">
      <c r="A6" s="4" t="inlineStr">
        <is>
          <t>Correctitud matematica: DCF y WACC bien calculados, FCFF pasa la prueba, Excel sin loops rotos</t>
        </is>
      </c>
      <c r="B6" s="23" t="n">
        <v>30</v>
      </c>
      <c r="C6" s="5" t="n">
        <v>0</v>
      </c>
    </row>
    <row r="7">
      <c r="A7" s="4" t="inlineStr">
        <is>
          <t>Profundidad de analisis: explica el POR QUE de los numeros, identifica banderas rojas o ventajas reales</t>
        </is>
      </c>
      <c r="B7" s="23" t="n">
        <v>30</v>
      </c>
      <c r="C7" s="5" t="n">
        <v>0</v>
      </c>
    </row>
    <row r="8">
      <c r="A8" s="4" t="inlineStr">
        <is>
          <t>Coherencia macroeconomica: los supuestos son consistentes con el ciclo y las tasas actuales</t>
        </is>
      </c>
      <c r="B8" s="23" t="n">
        <v>15</v>
      </c>
      <c r="C8" s="5" t="n">
        <v>0</v>
      </c>
    </row>
    <row r="9">
      <c r="A9" s="4" t="inlineStr">
        <is>
          <t>Presentacion y comunicacion: reporte claro, profesional, recomendacion coherente con los numeros</t>
        </is>
      </c>
      <c r="B9" s="23" t="n">
        <v>15</v>
      </c>
      <c r="C9" s="5" t="n">
        <v>0</v>
      </c>
    </row>
    <row r="10">
      <c r="A10" s="4" t="inlineStr">
        <is>
          <t>Gestion de riesgos: riesgos logicos identificados, con coberturas o puntos de salida</t>
        </is>
      </c>
      <c r="B10" s="23" t="n">
        <v>10</v>
      </c>
      <c r="C10" s="5" t="n">
        <v>0</v>
      </c>
    </row>
    <row r="11">
      <c r="A11" s="14" t="inlineStr">
        <is>
          <t>TOTAL</t>
        </is>
      </c>
      <c r="B11" s="24">
        <f>SUM(B6:B10)</f>
        <v/>
      </c>
      <c r="C11" s="24">
        <f>SUM(C6:C10)</f>
        <v/>
      </c>
    </row>
    <row r="13">
      <c r="A13" s="3" t="inlineStr">
        <is>
          <t>Comprobaciones tecnicas antes de entregar</t>
        </is>
      </c>
    </row>
    <row r="14">
      <c r="A14" t="inlineStr">
        <is>
          <t>☐  El balance del modelo cuadra en TODOS los anos proyectados</t>
        </is>
      </c>
    </row>
    <row r="15">
      <c r="A15" t="inlineStr">
        <is>
          <t>☐  El valor terminal no supera el 85% del Enterprise Value</t>
        </is>
      </c>
    </row>
    <row r="16">
      <c r="A16" t="inlineStr">
        <is>
          <t>☐  g es menor que el WACC y no supera el 3%</t>
        </is>
      </c>
    </row>
    <row r="17">
      <c r="A17" t="inlineStr">
        <is>
          <t>☐  Los tres escenarios (base, optimista, pesimista) funcionan sin errores</t>
        </is>
      </c>
    </row>
    <row r="18">
      <c r="A18" t="inlineStr">
        <is>
          <t>☐  Ninguna celda de calculo tiene numeros escritos a mano</t>
        </is>
      </c>
    </row>
    <row r="19">
      <c r="A19" t="inlineStr">
        <is>
          <t>☐  Las fuentes de los datos historicos estan citadas</t>
        </is>
      </c>
    </row>
  </sheetData>
  <mergeCells count="1">
    <mergeCell ref="A1:C1"/>
  </mergeCells>
  <conditionalFormatting sqref="C11">
    <cfRule type="cellIs" priority="1" operator="greaterThanOrEqual" dxfId="0">
      <formula>70</formula>
    </cfRule>
    <cfRule type="cellIs" priority="2" operator="lessThan" dxfId="1">
      <formula>70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2026-08-22T02:46:47Z</dcterms:created>
  <dcterms:modified xsi:type="dcterms:W3CDTF">2026-08-22T02:46:47Z</dcterms:modified>
</cp:coreProperties>
</file>