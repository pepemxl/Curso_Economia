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CC" sheetId="1" state="visible" r:id="rId1"/>
    <sheet name="DCF" sheetId="2" state="visible" r:id="rId2"/>
    <sheet name="Sensibi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77B4"/>
      <sz val="11"/>
    </font>
    <font>
      <sz val="11"/>
    </font>
    <font>
      <b val="1"/>
      <sz val="11"/>
    </font>
    <font>
      <b val="1"/>
      <sz val="14"/>
    </font>
    <font>
      <i val="1"/>
      <color rgb="007F7F7F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3" fillId="3" borderId="1" pivotButton="0" quotePrefix="0" xfId="0"/>
    <xf numFmtId="4" fontId="3" fillId="3" borderId="1" pivotButton="0" quotePrefix="0" xfId="0"/>
    <xf numFmtId="164" fontId="3" fillId="3" borderId="1" pivotButton="0" quotePrefix="0" xfId="0"/>
    <xf numFmtId="3" fontId="3" fillId="3" borderId="1" pivotButton="0" quotePrefix="0" xfId="0"/>
    <xf numFmtId="1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4" fillId="4" borderId="0" pivotButton="0" quotePrefix="0" xfId="0"/>
    <xf numFmtId="10" fontId="5" fillId="4" borderId="1" pivotButton="0" quotePrefix="0" xfId="0"/>
    <xf numFmtId="0" fontId="6" fillId="0" borderId="0" pivotButton="0" quotePrefix="0" xfId="0"/>
    <xf numFmtId="1" fontId="3" fillId="3" borderId="1" pivotButton="0" quotePrefix="0" xfId="0"/>
    <xf numFmtId="10" fontId="4" fillId="4" borderId="1" pivotButton="0" quotePrefix="0" xfId="0"/>
    <xf numFmtId="0" fontId="7" fillId="5" borderId="1" applyAlignment="1" pivotButton="0" quotePrefix="0" xfId="0">
      <alignment horizontal="center"/>
    </xf>
    <xf numFmtId="165" fontId="3" fillId="0" borderId="1" pivotButton="0" quotePrefix="0" xfId="0"/>
    <xf numFmtId="4" fontId="3" fillId="0" borderId="1" pivotButton="0" quotePrefix="0" xfId="0"/>
    <xf numFmtId="4" fontId="4" fillId="4" borderId="1" pivotButton="0" quotePrefix="0" xfId="0"/>
    <xf numFmtId="4" fontId="5" fillId="4" borderId="1" pivotButton="0" quotePrefix="0" xfId="0"/>
    <xf numFmtId="10" fontId="4" fillId="4" borderId="0" applyAlignment="1" pivotButton="0" quotePrefix="0" xfId="0">
      <alignment horizontal="center"/>
    </xf>
    <xf numFmtId="10" fontId="4" fillId="4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COSTO PROMEDIO PONDERADO DE CAPITAL (WACC)</t>
        </is>
      </c>
    </row>
    <row r="3">
      <c r="A3" s="2" t="inlineStr">
        <is>
          <t>Datos de entrada (amarillo = editable)</t>
        </is>
      </c>
    </row>
    <row r="4">
      <c r="A4" s="3" t="inlineStr">
        <is>
          <t>Tasa libre de riesgo (Rf)</t>
        </is>
      </c>
      <c r="B4" s="4" t="n">
        <v>0.035</v>
      </c>
    </row>
    <row r="5">
      <c r="A5" s="3" t="inlineStr">
        <is>
          <t>Beta apalancada de la empresa</t>
        </is>
      </c>
      <c r="B5" s="5" t="n">
        <v>1.1</v>
      </c>
    </row>
    <row r="6">
      <c r="A6" s="3" t="inlineStr">
        <is>
          <t>Prima por riesgo de mercado (MRP)</t>
        </is>
      </c>
      <c r="B6" s="4" t="n">
        <v>0.055</v>
      </c>
    </row>
    <row r="7">
      <c r="A7" s="3" t="inlineStr">
        <is>
          <t>Costo de la deuda antes de impuestos (rd)</t>
        </is>
      </c>
      <c r="B7" s="4" t="n">
        <v>0.07000000000000001</v>
      </c>
    </row>
    <row r="8">
      <c r="A8" s="3" t="inlineStr">
        <is>
          <t>Tasa de impuestos</t>
        </is>
      </c>
      <c r="B8" s="6" t="n">
        <v>0.3</v>
      </c>
    </row>
    <row r="9">
      <c r="A9" s="3" t="inlineStr">
        <is>
          <t>Valor de mercado del patrimonio (E)</t>
        </is>
      </c>
      <c r="B9" s="7" t="n">
        <v>400</v>
      </c>
    </row>
    <row r="10">
      <c r="A10" s="3" t="inlineStr">
        <is>
          <t>Valor de mercado de la deuda (D)</t>
        </is>
      </c>
      <c r="B10" s="7" t="n">
        <v>200</v>
      </c>
    </row>
    <row r="12">
      <c r="A12" s="2" t="inlineStr">
        <is>
          <t>Calculos</t>
        </is>
      </c>
    </row>
    <row r="13">
      <c r="A13" s="3" t="inlineStr">
        <is>
          <t>Costo del patrimonio  re = Rf + beta x MRP  (CAPM)</t>
        </is>
      </c>
      <c r="B13" s="8">
        <f>B4+B5*B6</f>
        <v/>
      </c>
    </row>
    <row r="14">
      <c r="A14" s="3" t="inlineStr">
        <is>
          <t>Costo de la deuda despues de impuestos  rd x (1-t)</t>
        </is>
      </c>
      <c r="B14" s="8">
        <f>B7*(1-B8)</f>
        <v/>
      </c>
    </row>
    <row r="15">
      <c r="A15" s="3" t="inlineStr">
        <is>
          <t>Valor total de la empresa  V = E + D</t>
        </is>
      </c>
      <c r="B15" s="9">
        <f>B9+B10</f>
        <v/>
      </c>
    </row>
    <row r="16">
      <c r="A16" s="3" t="inlineStr">
        <is>
          <t>Peso del patrimonio  E/V</t>
        </is>
      </c>
      <c r="B16" s="10">
        <f>B9/B15</f>
        <v/>
      </c>
    </row>
    <row r="17">
      <c r="A17" s="3" t="inlineStr">
        <is>
          <t>Peso de la deuda  D/V</t>
        </is>
      </c>
      <c r="B17" s="10">
        <f>B10/B15</f>
        <v/>
      </c>
    </row>
    <row r="19">
      <c r="A19" s="11" t="inlineStr">
        <is>
          <t>WACC</t>
        </is>
      </c>
      <c r="B19" s="12">
        <f>B16*B13+B17*B14</f>
        <v/>
      </c>
    </row>
    <row r="21">
      <c r="A21" s="13" t="inlineStr">
        <is>
          <t>Los pesos deben ir a valor de MERCADO, nunca contable.</t>
        </is>
      </c>
    </row>
    <row r="22">
      <c r="A22" s="13" t="inlineStr">
        <is>
          <t>Si subes la deuda, el beta del patrimonio deberia subir tambien: el WACC no baja indefinidamente.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VALUACION POR DESCUENTO DE FLUJOS (DCF)</t>
        </is>
      </c>
    </row>
    <row r="3">
      <c r="A3" s="2" t="inlineStr">
        <is>
          <t>Supuestos</t>
        </is>
      </c>
    </row>
    <row r="4">
      <c r="A4" s="3" t="inlineStr">
        <is>
          <t>Origen del WACC  (1 = hoja WACC   2 = manual)</t>
        </is>
      </c>
      <c r="B4" s="14" t="n">
        <v>2</v>
      </c>
    </row>
    <row r="5">
      <c r="A5" s="3" t="inlineStr">
        <is>
          <t>WACC calculado en la hoja WACC</t>
        </is>
      </c>
      <c r="B5" s="8">
        <f>WACC!B19</f>
        <v/>
      </c>
    </row>
    <row r="6">
      <c r="A6" s="3" t="inlineStr">
        <is>
          <t>WACC manual</t>
        </is>
      </c>
      <c r="B6" s="4" t="n">
        <v>0.12</v>
      </c>
    </row>
    <row r="7">
      <c r="A7" s="11" t="inlineStr">
        <is>
          <t>WACC EN USO</t>
        </is>
      </c>
      <c r="B7" s="15">
        <f>IFERROR(CHOOSE(B4,B5,B6),"Origen debe ser 1 o 2")</f>
        <v/>
      </c>
    </row>
    <row r="8">
      <c r="A8" s="3" t="inlineStr">
        <is>
          <t>Crecimiento perpetuo g</t>
        </is>
      </c>
      <c r="B8" s="4" t="n">
        <v>0.015</v>
      </c>
    </row>
    <row r="9">
      <c r="A9" s="3" t="inlineStr">
        <is>
          <t>Deuda neta</t>
        </is>
      </c>
      <c r="B9" s="7" t="n">
        <v>40</v>
      </c>
    </row>
    <row r="10">
      <c r="A10" s="3" t="inlineStr">
        <is>
          <t>Acciones en circulacion (millones)</t>
        </is>
      </c>
      <c r="B10" s="5" t="n">
        <v>5</v>
      </c>
    </row>
    <row r="12">
      <c r="A12" s="2" t="inlineStr">
        <is>
          <t>Flujos explicitos</t>
        </is>
      </c>
    </row>
    <row r="13">
      <c r="A13" s="16" t="inlineStr">
        <is>
          <t>Concepto</t>
        </is>
      </c>
      <c r="B13" s="16" t="inlineStr">
        <is>
          <t>Ano 1</t>
        </is>
      </c>
      <c r="C13" s="16" t="inlineStr">
        <is>
          <t>Ano 2</t>
        </is>
      </c>
      <c r="D13" s="16" t="inlineStr">
        <is>
          <t>Ano 3</t>
        </is>
      </c>
    </row>
    <row r="14">
      <c r="A14" s="3" t="inlineStr">
        <is>
          <t>FCFF proyectado</t>
        </is>
      </c>
      <c r="B14" s="7" t="n">
        <v>50</v>
      </c>
      <c r="C14" s="7" t="n">
        <v>60</v>
      </c>
      <c r="D14" s="7" t="n">
        <v>70</v>
      </c>
    </row>
    <row r="15">
      <c r="A15" s="3" t="inlineStr">
        <is>
          <t>Factor de descuento  1/(1+WACC)^t</t>
        </is>
      </c>
      <c r="B15" s="17">
        <f>1/(1+$B7)^1</f>
        <v/>
      </c>
      <c r="C15" s="17">
        <f>1/(1+$B7)^2</f>
        <v/>
      </c>
      <c r="D15" s="17">
        <f>1/(1+$B7)^3</f>
        <v/>
      </c>
    </row>
    <row r="16">
      <c r="A16" s="3" t="inlineStr">
        <is>
          <t>Valor presente del FCFF</t>
        </is>
      </c>
      <c r="B16" s="18">
        <f>B14*B15</f>
        <v/>
      </c>
      <c r="C16" s="18">
        <f>C14*C15</f>
        <v/>
      </c>
      <c r="D16" s="18">
        <f>D14*D15</f>
        <v/>
      </c>
    </row>
    <row r="17">
      <c r="A17" s="11" t="inlineStr">
        <is>
          <t>Suma de VP explicitos</t>
        </is>
      </c>
      <c r="B17" s="19">
        <f>SUM(B16:D16)</f>
        <v/>
      </c>
    </row>
    <row r="19">
      <c r="A19" s="2" t="inlineStr">
        <is>
          <t>Valor terminal (Gordon)</t>
        </is>
      </c>
    </row>
    <row r="20">
      <c r="A20" s="3" t="inlineStr">
        <is>
          <t>FCFF del ano 4 = FCFF3 x (1+g)</t>
        </is>
      </c>
      <c r="B20" s="18">
        <f>D14*(1+$B8)</f>
        <v/>
      </c>
    </row>
    <row r="21">
      <c r="A21" s="3" t="inlineStr">
        <is>
          <t>Valor terminal al final del ano 3</t>
        </is>
      </c>
      <c r="B21" s="18">
        <f>IFERROR(B20/($B7-$B8),"g debe ser menor que el WACC")</f>
        <v/>
      </c>
    </row>
    <row r="22">
      <c r="A22" s="11" t="inlineStr">
        <is>
          <t>VP del valor terminal (descontado 3 anos, NO 4)</t>
        </is>
      </c>
      <c r="B22" s="19">
        <f>B21*D15</f>
        <v/>
      </c>
    </row>
    <row r="23">
      <c r="A23" s="13" t="inlineStr">
        <is>
          <t>Error clasico: descontar el VT un periodo de mas. Gordon lo situa en el ano n, no en n+1.</t>
        </is>
      </c>
    </row>
    <row r="25">
      <c r="A25" s="2" t="inlineStr">
        <is>
          <t>Puente de valuacion</t>
        </is>
      </c>
    </row>
    <row r="26">
      <c r="A26" s="11" t="inlineStr">
        <is>
          <t>Enterprise Value</t>
        </is>
      </c>
      <c r="B26" s="19">
        <f>B17+B22</f>
        <v/>
      </c>
    </row>
    <row r="27">
      <c r="A27" s="3" t="inlineStr">
        <is>
          <t>(-) Deuda neta</t>
        </is>
      </c>
      <c r="B27" s="18">
        <f>-B9</f>
        <v/>
      </c>
    </row>
    <row r="28">
      <c r="A28" s="11" t="inlineStr">
        <is>
          <t>Equity Value</t>
        </is>
      </c>
      <c r="B28" s="19">
        <f>B26-B9</f>
        <v/>
      </c>
    </row>
    <row r="29">
      <c r="A29" s="11" t="inlineStr">
        <is>
          <t>VALOR INTRINSECO POR ACCION</t>
        </is>
      </c>
      <c r="B29" s="20">
        <f>IFERROR(B28/B10,"Revisa el numero de acciones")</f>
        <v/>
      </c>
    </row>
    <row r="31">
      <c r="A31" s="3" t="inlineStr">
        <is>
          <t>Peso del valor terminal sobre el EV</t>
        </is>
      </c>
      <c r="B31" s="10">
        <f>B22/B26</f>
        <v/>
      </c>
    </row>
    <row r="32">
      <c r="A32" s="13" t="inlineStr">
        <is>
          <t>Si el VT supera el 80% del EV, el modelo depende mas de un supuesto que del analisis.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SENSIBILIDAD DEL PRECIO POR ACCION:  WACC  x  crecimiento perpetuo (g)</t>
        </is>
      </c>
    </row>
    <row r="3">
      <c r="A3" s="13" t="inlineStr">
        <is>
          <t>Cada celda recalcula el DCF completo con ese par (WACC, g). Un DCF serio se presenta como rango, no como un numero.</t>
        </is>
      </c>
    </row>
    <row r="5">
      <c r="A5" s="2" t="inlineStr">
        <is>
          <t>WACC \ g</t>
        </is>
      </c>
      <c r="B5" s="21" t="n">
        <v>0.005</v>
      </c>
      <c r="C5" s="21" t="n">
        <v>0.01</v>
      </c>
      <c r="D5" s="21" t="n">
        <v>0.015</v>
      </c>
      <c r="E5" s="21" t="n">
        <v>0.02</v>
      </c>
      <c r="F5" s="21" t="n">
        <v>0.025</v>
      </c>
      <c r="G5" s="21" t="n">
        <v>0.03</v>
      </c>
    </row>
    <row r="6">
      <c r="A6" s="22" t="n">
        <v>0.1</v>
      </c>
      <c r="B6" s="23">
        <f>IFERROR((DCF!B14/(1+$A6)^1+DCF!C14/(1+$A6)^2+DCF!D14/(1+$A6)^3+(DCF!D14*(1+B$5)/($A6-B$5))/(1+$A6)^3-DCF!$B9)/DCF!$B10,"n/a")</f>
        <v/>
      </c>
      <c r="C6" s="23">
        <f>IFERROR((DCF!B14/(1+$A6)^1+DCF!C14/(1+$A6)^2+DCF!D14/(1+$A6)^3+(DCF!D14*(1+C$5)/($A6-C$5))/(1+$A6)^3-DCF!$B9)/DCF!$B10,"n/a")</f>
        <v/>
      </c>
      <c r="D6" s="23">
        <f>IFERROR((DCF!B14/(1+$A6)^1+DCF!C14/(1+$A6)^2+DCF!D14/(1+$A6)^3+(DCF!D14*(1+D$5)/($A6-D$5))/(1+$A6)^3-DCF!$B9)/DCF!$B10,"n/a")</f>
        <v/>
      </c>
      <c r="E6" s="23">
        <f>IFERROR((DCF!B14/(1+$A6)^1+DCF!C14/(1+$A6)^2+DCF!D14/(1+$A6)^3+(DCF!D14*(1+E$5)/($A6-E$5))/(1+$A6)^3-DCF!$B9)/DCF!$B10,"n/a")</f>
        <v/>
      </c>
      <c r="F6" s="23">
        <f>IFERROR((DCF!B14/(1+$A6)^1+DCF!C14/(1+$A6)^2+DCF!D14/(1+$A6)^3+(DCF!D14*(1+F$5)/($A6-F$5))/(1+$A6)^3-DCF!$B9)/DCF!$B10,"n/a")</f>
        <v/>
      </c>
      <c r="G6" s="23">
        <f>IFERROR((DCF!B14/(1+$A6)^1+DCF!C14/(1+$A6)^2+DCF!D14/(1+$A6)^3+(DCF!D14*(1+G$5)/($A6-G$5))/(1+$A6)^3-DCF!$B9)/DCF!$B10,"n/a")</f>
        <v/>
      </c>
    </row>
    <row r="7">
      <c r="A7" s="22" t="n">
        <v>0.11</v>
      </c>
      <c r="B7" s="23">
        <f>IFERROR((DCF!B14/(1+$A7)^1+DCF!C14/(1+$A7)^2+DCF!D14/(1+$A7)^3+(DCF!D14*(1+B$5)/($A7-B$5))/(1+$A7)^3-DCF!$B9)/DCF!$B10,"n/a")</f>
        <v/>
      </c>
      <c r="C7" s="23">
        <f>IFERROR((DCF!B14/(1+$A7)^1+DCF!C14/(1+$A7)^2+DCF!D14/(1+$A7)^3+(DCF!D14*(1+C$5)/($A7-C$5))/(1+$A7)^3-DCF!$B9)/DCF!$B10,"n/a")</f>
        <v/>
      </c>
      <c r="D7" s="23">
        <f>IFERROR((DCF!B14/(1+$A7)^1+DCF!C14/(1+$A7)^2+DCF!D14/(1+$A7)^3+(DCF!D14*(1+D$5)/($A7-D$5))/(1+$A7)^3-DCF!$B9)/DCF!$B10,"n/a")</f>
        <v/>
      </c>
      <c r="E7" s="23">
        <f>IFERROR((DCF!B14/(1+$A7)^1+DCF!C14/(1+$A7)^2+DCF!D14/(1+$A7)^3+(DCF!D14*(1+E$5)/($A7-E$5))/(1+$A7)^3-DCF!$B9)/DCF!$B10,"n/a")</f>
        <v/>
      </c>
      <c r="F7" s="23">
        <f>IFERROR((DCF!B14/(1+$A7)^1+DCF!C14/(1+$A7)^2+DCF!D14/(1+$A7)^3+(DCF!D14*(1+F$5)/($A7-F$5))/(1+$A7)^3-DCF!$B9)/DCF!$B10,"n/a")</f>
        <v/>
      </c>
      <c r="G7" s="23">
        <f>IFERROR((DCF!B14/(1+$A7)^1+DCF!C14/(1+$A7)^2+DCF!D14/(1+$A7)^3+(DCF!D14*(1+G$5)/($A7-G$5))/(1+$A7)^3-DCF!$B9)/DCF!$B10,"n/a")</f>
        <v/>
      </c>
    </row>
    <row r="8">
      <c r="A8" s="22" t="n">
        <v>0.12</v>
      </c>
      <c r="B8" s="23">
        <f>IFERROR((DCF!B14/(1+$A8)^1+DCF!C14/(1+$A8)^2+DCF!D14/(1+$A8)^3+(DCF!D14*(1+B$5)/($A8-B$5))/(1+$A8)^3-DCF!$B9)/DCF!$B10,"n/a")</f>
        <v/>
      </c>
      <c r="C8" s="23">
        <f>IFERROR((DCF!B14/(1+$A8)^1+DCF!C14/(1+$A8)^2+DCF!D14/(1+$A8)^3+(DCF!D14*(1+C$5)/($A8-C$5))/(1+$A8)^3-DCF!$B9)/DCF!$B10,"n/a")</f>
        <v/>
      </c>
      <c r="D8" s="23">
        <f>IFERROR((DCF!B14/(1+$A8)^1+DCF!C14/(1+$A8)^2+DCF!D14/(1+$A8)^3+(DCF!D14*(1+D$5)/($A8-D$5))/(1+$A8)^3-DCF!$B9)/DCF!$B10,"n/a")</f>
        <v/>
      </c>
      <c r="E8" s="23">
        <f>IFERROR((DCF!B14/(1+$A8)^1+DCF!C14/(1+$A8)^2+DCF!D14/(1+$A8)^3+(DCF!D14*(1+E$5)/($A8-E$5))/(1+$A8)^3-DCF!$B9)/DCF!$B10,"n/a")</f>
        <v/>
      </c>
      <c r="F8" s="23">
        <f>IFERROR((DCF!B14/(1+$A8)^1+DCF!C14/(1+$A8)^2+DCF!D14/(1+$A8)^3+(DCF!D14*(1+F$5)/($A8-F$5))/(1+$A8)^3-DCF!$B9)/DCF!$B10,"n/a")</f>
        <v/>
      </c>
      <c r="G8" s="23">
        <f>IFERROR((DCF!B14/(1+$A8)^1+DCF!C14/(1+$A8)^2+DCF!D14/(1+$A8)^3+(DCF!D14*(1+G$5)/($A8-G$5))/(1+$A8)^3-DCF!$B9)/DCF!$B10,"n/a")</f>
        <v/>
      </c>
    </row>
    <row r="9">
      <c r="A9" s="22" t="n">
        <v>0.13</v>
      </c>
      <c r="B9" s="23">
        <f>IFERROR((DCF!B14/(1+$A9)^1+DCF!C14/(1+$A9)^2+DCF!D14/(1+$A9)^3+(DCF!D14*(1+B$5)/($A9-B$5))/(1+$A9)^3-DCF!$B9)/DCF!$B10,"n/a")</f>
        <v/>
      </c>
      <c r="C9" s="23">
        <f>IFERROR((DCF!B14/(1+$A9)^1+DCF!C14/(1+$A9)^2+DCF!D14/(1+$A9)^3+(DCF!D14*(1+C$5)/($A9-C$5))/(1+$A9)^3-DCF!$B9)/DCF!$B10,"n/a")</f>
        <v/>
      </c>
      <c r="D9" s="23">
        <f>IFERROR((DCF!B14/(1+$A9)^1+DCF!C14/(1+$A9)^2+DCF!D14/(1+$A9)^3+(DCF!D14*(1+D$5)/($A9-D$5))/(1+$A9)^3-DCF!$B9)/DCF!$B10,"n/a")</f>
        <v/>
      </c>
      <c r="E9" s="23">
        <f>IFERROR((DCF!B14/(1+$A9)^1+DCF!C14/(1+$A9)^2+DCF!D14/(1+$A9)^3+(DCF!D14*(1+E$5)/($A9-E$5))/(1+$A9)^3-DCF!$B9)/DCF!$B10,"n/a")</f>
        <v/>
      </c>
      <c r="F9" s="23">
        <f>IFERROR((DCF!B14/(1+$A9)^1+DCF!C14/(1+$A9)^2+DCF!D14/(1+$A9)^3+(DCF!D14*(1+F$5)/($A9-F$5))/(1+$A9)^3-DCF!$B9)/DCF!$B10,"n/a")</f>
        <v/>
      </c>
      <c r="G9" s="23">
        <f>IFERROR((DCF!B14/(1+$A9)^1+DCF!C14/(1+$A9)^2+DCF!D14/(1+$A9)^3+(DCF!D14*(1+G$5)/($A9-G$5))/(1+$A9)^3-DCF!$B9)/DCF!$B10,"n/a")</f>
        <v/>
      </c>
    </row>
    <row r="10">
      <c r="A10" s="22" t="n">
        <v>0.14</v>
      </c>
      <c r="B10" s="23">
        <f>IFERROR((DCF!B14/(1+$A10)^1+DCF!C14/(1+$A10)^2+DCF!D14/(1+$A10)^3+(DCF!D14*(1+B$5)/($A10-B$5))/(1+$A10)^3-DCF!$B9)/DCF!$B10,"n/a")</f>
        <v/>
      </c>
      <c r="C10" s="23">
        <f>IFERROR((DCF!B14/(1+$A10)^1+DCF!C14/(1+$A10)^2+DCF!D14/(1+$A10)^3+(DCF!D14*(1+C$5)/($A10-C$5))/(1+$A10)^3-DCF!$B9)/DCF!$B10,"n/a")</f>
        <v/>
      </c>
      <c r="D10" s="23">
        <f>IFERROR((DCF!B14/(1+$A10)^1+DCF!C14/(1+$A10)^2+DCF!D14/(1+$A10)^3+(DCF!D14*(1+D$5)/($A10-D$5))/(1+$A10)^3-DCF!$B9)/DCF!$B10,"n/a")</f>
        <v/>
      </c>
      <c r="E10" s="23">
        <f>IFERROR((DCF!B14/(1+$A10)^1+DCF!C14/(1+$A10)^2+DCF!D14/(1+$A10)^3+(DCF!D14*(1+E$5)/($A10-E$5))/(1+$A10)^3-DCF!$B9)/DCF!$B10,"n/a")</f>
        <v/>
      </c>
      <c r="F10" s="23">
        <f>IFERROR((DCF!B14/(1+$A10)^1+DCF!C14/(1+$A10)^2+DCF!D14/(1+$A10)^3+(DCF!D14*(1+F$5)/($A10-F$5))/(1+$A10)^3-DCF!$B9)/DCF!$B10,"n/a")</f>
        <v/>
      </c>
      <c r="G10" s="23">
        <f>IFERROR((DCF!B14/(1+$A10)^1+DCF!C14/(1+$A10)^2+DCF!D14/(1+$A10)^3+(DCF!D14*(1+G$5)/($A10-G$5))/(1+$A10)^3-DCF!$B9)/DCF!$B10,"n/a")</f>
        <v/>
      </c>
    </row>
    <row r="11">
      <c r="A11" s="22" t="n">
        <v>0.15</v>
      </c>
      <c r="B11" s="23">
        <f>IFERROR((DCF!B14/(1+$A11)^1+DCF!C14/(1+$A11)^2+DCF!D14/(1+$A11)^3+(DCF!D14*(1+B$5)/($A11-B$5))/(1+$A11)^3-DCF!$B9)/DCF!$B10,"n/a")</f>
        <v/>
      </c>
      <c r="C11" s="23">
        <f>IFERROR((DCF!B14/(1+$A11)^1+DCF!C14/(1+$A11)^2+DCF!D14/(1+$A11)^3+(DCF!D14*(1+C$5)/($A11-C$5))/(1+$A11)^3-DCF!$B9)/DCF!$B10,"n/a")</f>
        <v/>
      </c>
      <c r="D11" s="23">
        <f>IFERROR((DCF!B14/(1+$A11)^1+DCF!C14/(1+$A11)^2+DCF!D14/(1+$A11)^3+(DCF!D14*(1+D$5)/($A11-D$5))/(1+$A11)^3-DCF!$B9)/DCF!$B10,"n/a")</f>
        <v/>
      </c>
      <c r="E11" s="23">
        <f>IFERROR((DCF!B14/(1+$A11)^1+DCF!C14/(1+$A11)^2+DCF!D14/(1+$A11)^3+(DCF!D14*(1+E$5)/($A11-E$5))/(1+$A11)^3-DCF!$B9)/DCF!$B10,"n/a")</f>
        <v/>
      </c>
      <c r="F11" s="23">
        <f>IFERROR((DCF!B14/(1+$A11)^1+DCF!C14/(1+$A11)^2+DCF!D14/(1+$A11)^3+(DCF!D14*(1+F$5)/($A11-F$5))/(1+$A11)^3-DCF!$B9)/DCF!$B10,"n/a")</f>
        <v/>
      </c>
      <c r="G11" s="23">
        <f>IFERROR((DCF!B14/(1+$A11)^1+DCF!C14/(1+$A11)^2+DCF!D14/(1+$A11)^3+(DCF!D14*(1+G$5)/($A11-G$5))/(1+$A11)^3-DCF!$B9)/DCF!$B10,"n/a")</f>
        <v/>
      </c>
    </row>
  </sheetData>
  <mergeCells count="1">
    <mergeCell ref="A1:H1"/>
  </mergeCells>
  <conditionalFormatting sqref="B6:G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2026-08-22T02:46:47Z</dcterms:created>
  <dcterms:modified xsi:type="dcterms:W3CDTF">2026-08-22T02:46:47Z</dcterms:modified>
</cp:coreProperties>
</file>